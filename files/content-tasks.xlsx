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чи" sheetId="1" state="visible" r:id="rId3"/>
    <sheet name="Проверка" sheetId="2" state="visible" r:id="rId4"/>
    <sheet name="Легенд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<sst xmlns="http://schemas.openxmlformats.org/spreadsheetml/2006/main" count="245" uniqueCount="135">
  <si>
    <t xml:space="preserve">id</t>
  </si>
  <si>
    <t xml:space="preserve">category</t>
  </si>
  <si>
    <t xml:space="preserve">branch</t>
  </si>
  <si>
    <t xml:space="preserve">slot</t>
  </si>
  <si>
    <t xml:space="preserve">tier</t>
  </si>
  <si>
    <t xml:space="preserve">anchor_text</t>
  </si>
  <si>
    <t xml:space="preserve">action_text</t>
  </si>
  <si>
    <t xml:space="preserve">subtitle</t>
  </si>
  <si>
    <t xml:space="preserve">source_doi</t>
  </si>
  <si>
    <t xml:space="preserve">source_citation</t>
  </si>
  <si>
    <t xml:space="preserve">source_note</t>
  </si>
  <si>
    <t xml:space="preserve">min_budget_min</t>
  </si>
  <si>
    <t xml:space="preserve">stopfactor_tags</t>
  </si>
  <si>
    <t xml:space="preserve">status</t>
  </si>
  <si>
    <t xml:space="preserve">EXAMPLE_ROW</t>
  </si>
  <si>
    <t xml:space="preserve">mind</t>
  </si>
  <si>
    <t xml:space="preserve">load</t>
  </si>
  <si>
    <t xml:space="preserve">core</t>
  </si>
  <si>
    <t xml:space="preserve">если лёг в кровать</t>
  </si>
  <si>
    <t xml:space="preserve">читаю 10 минут бумажной книги</t>
  </si>
  <si>
    <t xml:space="preserve">Пример строки. Удалить перед импортом.</t>
  </si>
  <si>
    <t xml:space="preserve">10.1016/j.socscimed.2016.07.014</t>
  </si>
  <si>
    <t xml:space="preserve">Bavishi et al., Soc Sci Med, 2016</t>
  </si>
  <si>
    <t xml:space="preserve">Пример заполнения. Удалить.</t>
  </si>
  <si>
    <t xml:space="preserve">example</t>
  </si>
  <si>
    <t xml:space="preserve">mind_load_t1</t>
  </si>
  <si>
    <t xml:space="preserve">Не «читать больше». Десять минут, книга, до сна. Заодно вытесняет телефон из последних минут дня.</t>
  </si>
  <si>
    <t xml:space="preserve">Наблюдательное исследование, 3 635 чел., до 12 лет. Связь, а не причина. Выборка пожилая. Формулировать только через «связь».</t>
  </si>
  <si>
    <t xml:space="preserve">ready</t>
  </si>
  <si>
    <t xml:space="preserve">mind_load_t2</t>
  </si>
  <si>
    <t xml:space="preserve">если проснулся</t>
  </si>
  <si>
    <t xml:space="preserve">первое, что читаю — книга, а не лента</t>
  </si>
  <si>
    <t xml:space="preserve">Пять минут. Меняем только очерёдность, не объём.</t>
  </si>
  <si>
    <t xml:space="preserve">mind_load_t3</t>
  </si>
  <si>
    <t xml:space="preserve">если сел работать</t>
  </si>
  <si>
    <t xml:space="preserve">25 минут без переключений, потом перерыв</t>
  </si>
  <si>
    <t xml:space="preserve">Один непрерывный блок в день. Не весь день так — один блок.</t>
  </si>
  <si>
    <t xml:space="preserve">ИСТОЧНИКА НЕТ. Исследования под конкретно 25-минутные интервалы не брали. Иконку «i» не показывать.</t>
  </si>
  <si>
    <t xml:space="preserve">focus</t>
  </si>
  <si>
    <t xml:space="preserve">mind_load_t4</t>
  </si>
  <si>
    <t xml:space="preserve">если дочитал главу</t>
  </si>
  <si>
    <t xml:space="preserve">за 2 минуты пересказываю её себе своими словами</t>
  </si>
  <si>
    <t xml:space="preserve">Попытка вспомнить закрепляет сильнее, чем перечитывание.</t>
  </si>
  <si>
    <t xml:space="preserve">ИСТОЧНИКА НЕТ в нашей подборке. Эффект тестирования изучен, но конкретную работу не брали. Иконку «i» не показывать.</t>
  </si>
  <si>
    <t xml:space="preserve">mind_load_t5</t>
  </si>
  <si>
    <t xml:space="preserve">если утро вторника и четверга</t>
  </si>
  <si>
    <t xml:space="preserve">60 минут на одну задачу без телефона</t>
  </si>
  <si>
    <t xml:space="preserve">Два длинных блока в неделю, фиксированные дни, самая сложная задача.</t>
  </si>
  <si>
    <t xml:space="preserve">10.1016/S0065-2601(06)38002-1</t>
  </si>
  <si>
    <t xml:space="preserve">Gollwitzer &amp; Sheeran, 2006</t>
  </si>
  <si>
    <t xml:space="preserve">Метаанализ 94 тестов, d = 0.65. Более поздние работы дают более скромные оценки.</t>
  </si>
  <si>
    <t xml:space="preserve">mind_load_m01</t>
  </si>
  <si>
    <t xml:space="preserve">micro</t>
  </si>
  <si>
    <t xml:space="preserve">прочитать 10 страниц бумажной книги</t>
  </si>
  <si>
    <t xml:space="preserve">Схема: Замени</t>
  </si>
  <si>
    <t xml:space="preserve">mind_load_m02</t>
  </si>
  <si>
    <t xml:space="preserve">дочитать статью, которую отложили «на потом»</t>
  </si>
  <si>
    <t xml:space="preserve">Схема: Сделай</t>
  </si>
  <si>
    <t xml:space="preserve">ИСТОЧНИКА НЕТ</t>
  </si>
  <si>
    <t xml:space="preserve">mind_load_m03</t>
  </si>
  <si>
    <t xml:space="preserve">написать три предложения о том, что узнали сегодня</t>
  </si>
  <si>
    <t xml:space="preserve">Схема: Заметь</t>
  </si>
  <si>
    <t xml:space="preserve">mind_load_m04</t>
  </si>
  <si>
    <t xml:space="preserve">убрать телефон в другую комнату на час работы</t>
  </si>
  <si>
    <t xml:space="preserve">Схема: Убери</t>
  </si>
  <si>
    <t xml:space="preserve">mind_load_m05</t>
  </si>
  <si>
    <t xml:space="preserve">посмотреть одну лекцию вместо одного ролика в ленте</t>
  </si>
  <si>
    <t xml:space="preserve">mind_load_m06</t>
  </si>
  <si>
    <t xml:space="preserve">начать книгу, которая лежит непрочитанной</t>
  </si>
  <si>
    <t xml:space="preserve">mind_load_m07</t>
  </si>
  <si>
    <t xml:space="preserve">выписать один вопрос, на который хотите знать ответ</t>
  </si>
  <si>
    <t xml:space="preserve">mind_load_m08</t>
  </si>
  <si>
    <t xml:space="preserve">объяснить кому-нибудь то, что недавно узнали</t>
  </si>
  <si>
    <t xml:space="preserve">mind_load_m09</t>
  </si>
  <si>
    <t xml:space="preserve">прочитать вслух две страницы</t>
  </si>
  <si>
    <t xml:space="preserve">Схема: Добавь</t>
  </si>
  <si>
    <t xml:space="preserve">mind_load_m10</t>
  </si>
  <si>
    <t xml:space="preserve">провести 30 минут без единого уведомления</t>
  </si>
  <si>
    <t xml:space="preserve">mind_load_m11</t>
  </si>
  <si>
    <t xml:space="preserve">записать, что читаете сейчас, и сколько осталось</t>
  </si>
  <si>
    <t xml:space="preserve">mind_load_m12</t>
  </si>
  <si>
    <t xml:space="preserve">найти и сохранить одну книгу по теме, которая интересует</t>
  </si>
  <si>
    <t xml:space="preserve">Автопроверки контента</t>
  </si>
  <si>
    <t xml:space="preserve">Проверка</t>
  </si>
  <si>
    <t xml:space="preserve">Значение</t>
  </si>
  <si>
    <t xml:space="preserve">Что означает</t>
  </si>
  <si>
    <t xml:space="preserve">Всего строк (без примера)</t>
  </si>
  <si>
    <t xml:space="preserve">Целевой объём микрозадач по всем категориям — 180+</t>
  </si>
  <si>
    <t xml:space="preserve">Задач-ядер</t>
  </si>
  <si>
    <t xml:space="preserve">Должно стать 35: 6 категорий x 5 тиров + 5 на ветку Нагрузка</t>
  </si>
  <si>
    <t xml:space="preserve">Микрозадач</t>
  </si>
  <si>
    <t xml:space="preserve">С источником (есть DOI)</t>
  </si>
  <si>
    <t xml:space="preserve">Иконка «i» показывается только у этих</t>
  </si>
  <si>
    <t xml:space="preserve">Без источника (DOI пустой)</t>
  </si>
  <si>
    <t xml:space="preserve">Это нормально. Иконку «i» не показывать, ничего не выдумывать</t>
  </si>
  <si>
    <t xml:space="preserve">Доля с источником</t>
  </si>
  <si>
    <t xml:space="preserve">Смотреть только на заполненной таблице. Ориентир 50-65%. Выше 80% — источники натянуты</t>
  </si>
  <si>
    <t xml:space="preserve">ОШИБКА: action_text длиннее 60 символов</t>
  </si>
  <si>
    <t xml:space="preserve">Должно быть 0. Не влезает в карточку на 320 px</t>
  </si>
  <si>
    <t xml:space="preserve">ОШИБКА: anchor_text длиннее 40 символов</t>
  </si>
  <si>
    <t xml:space="preserve">Должно быть 0</t>
  </si>
  <si>
    <t xml:space="preserve">ОШИБКА: у ядра не заполнен anchor_text</t>
  </si>
  <si>
    <t xml:space="preserve">Должно быть 0. Формат если-то обязателен для ядра</t>
  </si>
  <si>
    <t xml:space="preserve">ОШИБКА: есть DOI, но нет citation</t>
  </si>
  <si>
    <t xml:space="preserve">Должно быть 0. Иначе нечего показать в карточке</t>
  </si>
  <si>
    <t xml:space="preserve">ОШИБКА: дубли id</t>
  </si>
  <si>
    <t xml:space="preserve">Как заполнять</t>
  </si>
  <si>
    <t xml:space="preserve">Что редактируем</t>
  </si>
  <si>
    <t xml:space="preserve">Только лист «Задачи». Лист «Проверка» считается сам.</t>
  </si>
  <si>
    <t xml:space="preserve">Жёлтая строка</t>
  </si>
  <si>
    <t xml:space="preserve">EXAMPLE_ROW — образец формата. Удалить перед импортом в базу.</t>
  </si>
  <si>
    <t xml:space="preserve">Зелёные строки</t>
  </si>
  <si>
    <t xml:space="preserve">Задачи-ядра. Живут 60+ дней, формат если-то обязателен.</t>
  </si>
  <si>
    <t xml:space="preserve">Розовые ячейки</t>
  </si>
  <si>
    <t xml:space="preserve">Источника нет. Это валидное состояние, а не долг. Иконка «i» не показывается.</t>
  </si>
  <si>
    <t xml:space="preserve">категория_ветка_тип+номер. Пример: mind_load_t1, mind_load_m03. Уникален.</t>
  </si>
  <si>
    <t xml:space="preserve">sleep | energy | movement | food | water | mind</t>
  </si>
  <si>
    <t xml:space="preserve">Только для mind: recovery | load. Для остальных пусто.</t>
  </si>
  <si>
    <t xml:space="preserve">core — ядро, живёт 60 дней. micro — задача дня, ротация.</t>
  </si>
  <si>
    <t xml:space="preserve">1–5 для core. Пусто для micro.</t>
  </si>
  <si>
    <t xml:space="preserve">Событие, которое случится сегодня в любом случае. До 40 символов. Строчными.</t>
  </si>
  <si>
    <t xml:space="preserve">Глагол первого лица настоящего времени: «иду», «убираю». До 60 символов.</t>
  </si>
  <si>
    <t xml:space="preserve">Одно предложение. Снимает сопротивление, а не мотивирует. Для micro — схема.</t>
  </si>
  <si>
    <t xml:space="preserve">Только реальный DOI. Пусто — валидно. Не выдумывать.</t>
  </si>
  <si>
    <t xml:space="preserve">Автор, журнал, год. Заполняется всегда, если есть DOI.</t>
  </si>
  <si>
    <t xml:space="preserve">Оговорки: размер выборки, тип исследования, конфликт интересов.</t>
  </si>
  <si>
    <t xml:space="preserve">5 | 15 | 30. Минимальный бюджет из вопроса 16 анкеты.</t>
  </si>
  <si>
    <t xml:space="preserve">Из вопроса 17. Пусто, если задача не привязана к стоп-фактору.</t>
  </si>
  <si>
    <t xml:space="preserve">draft — пишется. ready — готова. live — в проде. example — образец.</t>
  </si>
  <si>
    <t xml:space="preserve">Схемы микрозадач</t>
  </si>
  <si>
    <t xml:space="preserve">Замени · Убери · Добавь · Заметь · Сдвинь · Сделай раньше.</t>
  </si>
  <si>
    <t xml:space="preserve">6 схем x 6 категорий x 5–6 вариаций = 180–216 задач.</t>
  </si>
  <si>
    <t xml:space="preserve">Стоп-лист</t>
  </si>
  <si>
    <t xml:space="preserve">Без цифр калорий, веса, размера порции. Без восклицательных знаков.</t>
  </si>
  <si>
    <t xml:space="preserve">Без «ты должен», «всего 5 минут», «лучшая версия себя», «доказано, что».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</si>
</sst>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2E"/>
        <bgColor rgb="FF333300"/>
      </patternFill>
    </fill>
    <fill>
      <patternFill patternType="solid">
        <fgColor rgb="FFFFF9DB"/>
        <bgColor rgb="FFFDECEC"/>
      </patternFill>
    </fill>
    <fill>
      <patternFill patternType="solid">
        <fgColor rgb="FFEAF3EE"/>
        <bgColor rgb="FFFDECEC"/>
      </patternFill>
    </fill>
    <fill>
      <patternFill patternType="solid">
        <fgColor rgb="FFFDECEC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AF3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46"/>
    <col collapsed="false" customWidth="true" hidden="false" outlineLevel="0" max="10" min="9" style="0" width="30"/>
    <col collapsed="false" customWidth="true" hidden="false" outlineLevel="0" max="11" min="11" style="0" width="44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11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33.75" hidden="false" customHeight="tru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n">
        <v>1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n">
        <v>15</v>
      </c>
      <c r="M2" s="2"/>
      <c r="N2" s="2" t="s">
        <v>24</v>
      </c>
    </row>
    <row r="3" customFormat="false" ht="33.75" hidden="false" customHeight="true" outlineLevel="0" collapsed="false">
      <c r="A3" s="3" t="s">
        <v>25</v>
      </c>
      <c r="B3" s="3" t="s">
        <v>15</v>
      </c>
      <c r="C3" s="3" t="s">
        <v>16</v>
      </c>
      <c r="D3" s="3" t="s">
        <v>17</v>
      </c>
      <c r="E3" s="3" t="n">
        <v>1</v>
      </c>
      <c r="F3" s="3" t="s">
        <v>18</v>
      </c>
      <c r="G3" s="3" t="s">
        <v>19</v>
      </c>
      <c r="H3" s="3" t="s">
        <v>26</v>
      </c>
      <c r="I3" s="3" t="s">
        <v>21</v>
      </c>
      <c r="J3" s="3" t="s">
        <v>22</v>
      </c>
      <c r="K3" s="3" t="s">
        <v>27</v>
      </c>
      <c r="L3" s="3" t="n">
        <v>15</v>
      </c>
      <c r="M3" s="3"/>
      <c r="N3" s="3" t="s">
        <v>28</v>
      </c>
    </row>
    <row r="4" customFormat="false" ht="33.75" hidden="false" customHeight="true" outlineLevel="0" collapsed="false">
      <c r="A4" s="3" t="s">
        <v>29</v>
      </c>
      <c r="B4" s="3" t="s">
        <v>15</v>
      </c>
      <c r="C4" s="3" t="s">
        <v>16</v>
      </c>
      <c r="D4" s="3" t="s">
        <v>17</v>
      </c>
      <c r="E4" s="3" t="n">
        <v>2</v>
      </c>
      <c r="F4" s="3" t="s">
        <v>30</v>
      </c>
      <c r="G4" s="3" t="s">
        <v>31</v>
      </c>
      <c r="H4" s="3" t="s">
        <v>32</v>
      </c>
      <c r="I4" s="3" t="s">
        <v>21</v>
      </c>
      <c r="J4" s="3" t="s">
        <v>22</v>
      </c>
      <c r="K4" s="3" t="s">
        <v>27</v>
      </c>
      <c r="L4" s="3" t="n">
        <v>5</v>
      </c>
      <c r="M4" s="3"/>
      <c r="N4" s="3" t="s">
        <v>28</v>
      </c>
    </row>
    <row r="5" customFormat="false" ht="33.75" hidden="false" customHeight="true" outlineLevel="0" collapsed="false">
      <c r="A5" s="3" t="s">
        <v>33</v>
      </c>
      <c r="B5" s="3" t="s">
        <v>15</v>
      </c>
      <c r="C5" s="3" t="s">
        <v>16</v>
      </c>
      <c r="D5" s="3" t="s">
        <v>17</v>
      </c>
      <c r="E5" s="3" t="n">
        <v>3</v>
      </c>
      <c r="F5" s="3" t="s">
        <v>34</v>
      </c>
      <c r="G5" s="3" t="s">
        <v>35</v>
      </c>
      <c r="H5" s="3" t="s">
        <v>36</v>
      </c>
      <c r="I5" s="4"/>
      <c r="J5" s="3"/>
      <c r="K5" s="4" t="s">
        <v>37</v>
      </c>
      <c r="L5" s="3" t="n">
        <v>30</v>
      </c>
      <c r="M5" s="3" t="s">
        <v>38</v>
      </c>
      <c r="N5" s="3" t="s">
        <v>28</v>
      </c>
    </row>
    <row r="6" customFormat="false" ht="33.75" hidden="false" customHeight="true" outlineLevel="0" collapsed="false">
      <c r="A6" s="3" t="s">
        <v>39</v>
      </c>
      <c r="B6" s="3" t="s">
        <v>15</v>
      </c>
      <c r="C6" s="3" t="s">
        <v>16</v>
      </c>
      <c r="D6" s="3" t="s">
        <v>17</v>
      </c>
      <c r="E6" s="3" t="n">
        <v>4</v>
      </c>
      <c r="F6" s="3" t="s">
        <v>40</v>
      </c>
      <c r="G6" s="3" t="s">
        <v>41</v>
      </c>
      <c r="H6" s="3" t="s">
        <v>42</v>
      </c>
      <c r="I6" s="4"/>
      <c r="J6" s="3"/>
      <c r="K6" s="4" t="s">
        <v>43</v>
      </c>
      <c r="L6" s="3" t="n">
        <v>15</v>
      </c>
      <c r="M6" s="3"/>
      <c r="N6" s="3" t="s">
        <v>28</v>
      </c>
    </row>
    <row r="7" customFormat="false" ht="33.75" hidden="false" customHeight="true" outlineLevel="0" collapsed="false">
      <c r="A7" s="3" t="s">
        <v>44</v>
      </c>
      <c r="B7" s="3" t="s">
        <v>15</v>
      </c>
      <c r="C7" s="3" t="s">
        <v>16</v>
      </c>
      <c r="D7" s="3" t="s">
        <v>17</v>
      </c>
      <c r="E7" s="3" t="n">
        <v>5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  <c r="K7" s="3" t="s">
        <v>50</v>
      </c>
      <c r="L7" s="3" t="n">
        <v>30</v>
      </c>
      <c r="M7" s="3"/>
      <c r="N7" s="3" t="s">
        <v>28</v>
      </c>
    </row>
    <row r="8" customFormat="false" ht="33.75" hidden="false" customHeight="true" outlineLevel="0" collapsed="false">
      <c r="A8" s="5" t="s">
        <v>51</v>
      </c>
      <c r="B8" s="5" t="s">
        <v>15</v>
      </c>
      <c r="C8" s="5" t="s">
        <v>16</v>
      </c>
      <c r="D8" s="5" t="s">
        <v>52</v>
      </c>
      <c r="E8" s="5"/>
      <c r="F8" s="5"/>
      <c r="G8" s="5" t="s">
        <v>53</v>
      </c>
      <c r="H8" s="5" t="s">
        <v>54</v>
      </c>
      <c r="I8" s="5" t="s">
        <v>21</v>
      </c>
      <c r="J8" s="5" t="s">
        <v>22</v>
      </c>
      <c r="K8" s="5" t="s">
        <v>27</v>
      </c>
      <c r="L8" s="5" t="n">
        <v>15</v>
      </c>
      <c r="M8" s="5"/>
      <c r="N8" s="5" t="s">
        <v>28</v>
      </c>
    </row>
    <row r="9" customFormat="false" ht="33.75" hidden="false" customHeight="true" outlineLevel="0" collapsed="false">
      <c r="A9" s="5" t="s">
        <v>55</v>
      </c>
      <c r="B9" s="5" t="s">
        <v>15</v>
      </c>
      <c r="C9" s="5" t="s">
        <v>16</v>
      </c>
      <c r="D9" s="5" t="s">
        <v>52</v>
      </c>
      <c r="E9" s="5"/>
      <c r="F9" s="5"/>
      <c r="G9" s="5" t="s">
        <v>56</v>
      </c>
      <c r="H9" s="5" t="s">
        <v>57</v>
      </c>
      <c r="I9" s="4"/>
      <c r="J9" s="5"/>
      <c r="K9" s="4" t="s">
        <v>58</v>
      </c>
      <c r="L9" s="5" t="n">
        <v>15</v>
      </c>
      <c r="M9" s="5"/>
      <c r="N9" s="5" t="s">
        <v>28</v>
      </c>
    </row>
    <row r="10" customFormat="false" ht="33.75" hidden="false" customHeight="true" outlineLevel="0" collapsed="false">
      <c r="A10" s="5" t="s">
        <v>59</v>
      </c>
      <c r="B10" s="5" t="s">
        <v>15</v>
      </c>
      <c r="C10" s="5" t="s">
        <v>16</v>
      </c>
      <c r="D10" s="5" t="s">
        <v>52</v>
      </c>
      <c r="E10" s="5"/>
      <c r="F10" s="5"/>
      <c r="G10" s="5" t="s">
        <v>60</v>
      </c>
      <c r="H10" s="5" t="s">
        <v>61</v>
      </c>
      <c r="I10" s="4"/>
      <c r="J10" s="5"/>
      <c r="K10" s="4" t="s">
        <v>58</v>
      </c>
      <c r="L10" s="5" t="n">
        <v>5</v>
      </c>
      <c r="M10" s="5"/>
      <c r="N10" s="5" t="s">
        <v>28</v>
      </c>
    </row>
    <row r="11" customFormat="false" ht="33.75" hidden="false" customHeight="true" outlineLevel="0" collapsed="false">
      <c r="A11" s="5" t="s">
        <v>62</v>
      </c>
      <c r="B11" s="5" t="s">
        <v>15</v>
      </c>
      <c r="C11" s="5" t="s">
        <v>16</v>
      </c>
      <c r="D11" s="5" t="s">
        <v>52</v>
      </c>
      <c r="E11" s="5"/>
      <c r="F11" s="5"/>
      <c r="G11" s="5" t="s">
        <v>63</v>
      </c>
      <c r="H11" s="5" t="s">
        <v>64</v>
      </c>
      <c r="I11" s="4"/>
      <c r="J11" s="5"/>
      <c r="K11" s="4" t="s">
        <v>58</v>
      </c>
      <c r="L11" s="5" t="n">
        <v>5</v>
      </c>
      <c r="M11" s="5"/>
      <c r="N11" s="5" t="s">
        <v>28</v>
      </c>
    </row>
    <row r="12" customFormat="false" ht="33.75" hidden="false" customHeight="true" outlineLevel="0" collapsed="false">
      <c r="A12" s="5" t="s">
        <v>65</v>
      </c>
      <c r="B12" s="5" t="s">
        <v>15</v>
      </c>
      <c r="C12" s="5" t="s">
        <v>16</v>
      </c>
      <c r="D12" s="5" t="s">
        <v>52</v>
      </c>
      <c r="E12" s="5"/>
      <c r="F12" s="5"/>
      <c r="G12" s="5" t="s">
        <v>66</v>
      </c>
      <c r="H12" s="5" t="s">
        <v>54</v>
      </c>
      <c r="I12" s="4"/>
      <c r="J12" s="5"/>
      <c r="K12" s="4" t="s">
        <v>58</v>
      </c>
      <c r="L12" s="5" t="n">
        <v>30</v>
      </c>
      <c r="M12" s="5"/>
      <c r="N12" s="5" t="s">
        <v>28</v>
      </c>
    </row>
    <row r="13" customFormat="false" ht="33.75" hidden="false" customHeight="true" outlineLevel="0" collapsed="false">
      <c r="A13" s="5" t="s">
        <v>67</v>
      </c>
      <c r="B13" s="5" t="s">
        <v>15</v>
      </c>
      <c r="C13" s="5" t="s">
        <v>16</v>
      </c>
      <c r="D13" s="5" t="s">
        <v>52</v>
      </c>
      <c r="E13" s="5"/>
      <c r="F13" s="5"/>
      <c r="G13" s="5" t="s">
        <v>68</v>
      </c>
      <c r="H13" s="5" t="s">
        <v>57</v>
      </c>
      <c r="I13" s="5" t="s">
        <v>21</v>
      </c>
      <c r="J13" s="5" t="s">
        <v>22</v>
      </c>
      <c r="K13" s="5" t="s">
        <v>27</v>
      </c>
      <c r="L13" s="5" t="n">
        <v>5</v>
      </c>
      <c r="M13" s="5"/>
      <c r="N13" s="5" t="s">
        <v>28</v>
      </c>
    </row>
    <row r="14" customFormat="false" ht="33.75" hidden="false" customHeight="true" outlineLevel="0" collapsed="false">
      <c r="A14" s="5" t="s">
        <v>69</v>
      </c>
      <c r="B14" s="5" t="s">
        <v>15</v>
      </c>
      <c r="C14" s="5" t="s">
        <v>16</v>
      </c>
      <c r="D14" s="5" t="s">
        <v>52</v>
      </c>
      <c r="E14" s="5"/>
      <c r="F14" s="5"/>
      <c r="G14" s="5" t="s">
        <v>70</v>
      </c>
      <c r="H14" s="5" t="s">
        <v>61</v>
      </c>
      <c r="I14" s="4"/>
      <c r="J14" s="5"/>
      <c r="K14" s="4" t="s">
        <v>58</v>
      </c>
      <c r="L14" s="5" t="n">
        <v>5</v>
      </c>
      <c r="M14" s="5"/>
      <c r="N14" s="5" t="s">
        <v>28</v>
      </c>
    </row>
    <row r="15" customFormat="false" ht="33.75" hidden="false" customHeight="true" outlineLevel="0" collapsed="false">
      <c r="A15" s="5" t="s">
        <v>71</v>
      </c>
      <c r="B15" s="5" t="s">
        <v>15</v>
      </c>
      <c r="C15" s="5" t="s">
        <v>16</v>
      </c>
      <c r="D15" s="5" t="s">
        <v>52</v>
      </c>
      <c r="E15" s="5"/>
      <c r="F15" s="5"/>
      <c r="G15" s="5" t="s">
        <v>72</v>
      </c>
      <c r="H15" s="5" t="s">
        <v>57</v>
      </c>
      <c r="I15" s="4"/>
      <c r="J15" s="5"/>
      <c r="K15" s="4" t="s">
        <v>58</v>
      </c>
      <c r="L15" s="5" t="n">
        <v>15</v>
      </c>
      <c r="M15" s="5"/>
      <c r="N15" s="5" t="s">
        <v>28</v>
      </c>
    </row>
    <row r="16" customFormat="false" ht="33.75" hidden="false" customHeight="true" outlineLevel="0" collapsed="false">
      <c r="A16" s="5" t="s">
        <v>73</v>
      </c>
      <c r="B16" s="5" t="s">
        <v>15</v>
      </c>
      <c r="C16" s="5" t="s">
        <v>16</v>
      </c>
      <c r="D16" s="5" t="s">
        <v>52</v>
      </c>
      <c r="E16" s="5"/>
      <c r="F16" s="5"/>
      <c r="G16" s="5" t="s">
        <v>74</v>
      </c>
      <c r="H16" s="5" t="s">
        <v>75</v>
      </c>
      <c r="I16" s="4"/>
      <c r="J16" s="5"/>
      <c r="K16" s="4" t="s">
        <v>58</v>
      </c>
      <c r="L16" s="5" t="n">
        <v>5</v>
      </c>
      <c r="M16" s="5"/>
      <c r="N16" s="5" t="s">
        <v>28</v>
      </c>
    </row>
    <row r="17" customFormat="false" ht="33.75" hidden="false" customHeight="true" outlineLevel="0" collapsed="false">
      <c r="A17" s="5" t="s">
        <v>76</v>
      </c>
      <c r="B17" s="5" t="s">
        <v>15</v>
      </c>
      <c r="C17" s="5" t="s">
        <v>16</v>
      </c>
      <c r="D17" s="5" t="s">
        <v>52</v>
      </c>
      <c r="E17" s="5"/>
      <c r="F17" s="5"/>
      <c r="G17" s="5" t="s">
        <v>77</v>
      </c>
      <c r="H17" s="5" t="s">
        <v>64</v>
      </c>
      <c r="I17" s="4"/>
      <c r="J17" s="5"/>
      <c r="K17" s="4" t="s">
        <v>58</v>
      </c>
      <c r="L17" s="5" t="n">
        <v>30</v>
      </c>
      <c r="M17" s="5"/>
      <c r="N17" s="5" t="s">
        <v>28</v>
      </c>
    </row>
    <row r="18" customFormat="false" ht="33.75" hidden="false" customHeight="true" outlineLevel="0" collapsed="false">
      <c r="A18" s="5" t="s">
        <v>78</v>
      </c>
      <c r="B18" s="5" t="s">
        <v>15</v>
      </c>
      <c r="C18" s="5" t="s">
        <v>16</v>
      </c>
      <c r="D18" s="5" t="s">
        <v>52</v>
      </c>
      <c r="E18" s="5"/>
      <c r="F18" s="5"/>
      <c r="G18" s="5" t="s">
        <v>79</v>
      </c>
      <c r="H18" s="5" t="s">
        <v>61</v>
      </c>
      <c r="I18" s="4"/>
      <c r="J18" s="5"/>
      <c r="K18" s="4" t="s">
        <v>58</v>
      </c>
      <c r="L18" s="5" t="n">
        <v>5</v>
      </c>
      <c r="M18" s="5"/>
      <c r="N18" s="5" t="s">
        <v>28</v>
      </c>
    </row>
    <row r="19" customFormat="false" ht="33.75" hidden="false" customHeight="true" outlineLevel="0" collapsed="false">
      <c r="A19" s="5" t="s">
        <v>80</v>
      </c>
      <c r="B19" s="5" t="s">
        <v>15</v>
      </c>
      <c r="C19" s="5" t="s">
        <v>16</v>
      </c>
      <c r="D19" s="5" t="s">
        <v>52</v>
      </c>
      <c r="E19" s="5"/>
      <c r="F19" s="5"/>
      <c r="G19" s="5" t="s">
        <v>81</v>
      </c>
      <c r="H19" s="5" t="s">
        <v>75</v>
      </c>
      <c r="I19" s="4"/>
      <c r="J19" s="5"/>
      <c r="K19" s="4" t="s">
        <v>58</v>
      </c>
      <c r="L19" s="5" t="n">
        <v>5</v>
      </c>
      <c r="M19" s="5"/>
      <c r="N19" s="5" t="s">
        <v>28</v>
      </c>
    </row>
  </sheetData>
  <dataValidations count="5">
    <dataValidation allowBlank="false" errorStyle="stop" operator="between" showDropDown="false" showErrorMessage="false" showInputMessage="false" sqref="B2:B400" type="list">
      <formula1>"sleep,energy,movement,food,water,mind"</formula1>
      <formula2>0</formula2>
    </dataValidation>
    <dataValidation allowBlank="true" errorStyle="stop" operator="between" showDropDown="false" showErrorMessage="false" showInputMessage="false" sqref="C2:C400" type="list">
      <formula1>"recovery,load"</formula1>
      <formula2>0</formula2>
    </dataValidation>
    <dataValidation allowBlank="false" errorStyle="stop" operator="between" showDropDown="false" showErrorMessage="false" showInputMessage="false" sqref="D2:D400" type="list">
      <formula1>"core,micro"</formula1>
      <formula2>0</formula2>
    </dataValidation>
    <dataValidation allowBlank="false" errorStyle="stop" operator="between" showDropDown="false" showErrorMessage="false" showInputMessage="false" sqref="L2:L400" type="list">
      <formula1>"5,15,30"</formula1>
      <formula2>0</formula2>
    </dataValidation>
    <dataValidation allowBlank="false" errorStyle="stop" operator="between" showDropDown="false" showErrorMessage="false" showInputMessage="false" sqref="N2:N400" type="list">
      <formula1>"draft,ready,live,example"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6" t="s">
        <v>82</v>
      </c>
    </row>
    <row r="3" customFormat="false" ht="15" hidden="false" customHeight="false" outlineLevel="0" collapsed="false">
      <c r="A3" s="7" t="s">
        <v>83</v>
      </c>
      <c r="B3" s="7" t="s">
        <v>84</v>
      </c>
      <c r="C3" s="7" t="s">
        <v>85</v>
      </c>
    </row>
    <row r="4" customFormat="false" ht="15" hidden="false" customHeight="false" outlineLevel="0" collapsed="false">
      <c r="A4" s="8" t="s">
        <v>86</v>
      </c>
      <c r="B4" s="8" t="n">
        <f aca="false">COUNTIF(Задачи!$N$2:$N$19,"ready")+COUNTIF(Задачи!$N$2:$N$19,"live")</f>
        <v>17</v>
      </c>
      <c r="C4" s="5" t="s">
        <v>87</v>
      </c>
    </row>
    <row r="5" customFormat="false" ht="15" hidden="false" customHeight="false" outlineLevel="0" collapsed="false">
      <c r="A5" s="8" t="s">
        <v>88</v>
      </c>
      <c r="B5" s="8" t="n">
        <f aca="false">COUNTIFS(Задачи!$D$2:$D$19,"core",Задачи!$N$2:$N$19,"&lt;&gt;example")</f>
        <v>5</v>
      </c>
      <c r="C5" s="5" t="s">
        <v>89</v>
      </c>
    </row>
    <row r="6" customFormat="false" ht="15" hidden="false" customHeight="false" outlineLevel="0" collapsed="false">
      <c r="A6" s="8" t="s">
        <v>90</v>
      </c>
      <c r="B6" s="8" t="n">
        <f aca="false">COUNTIFS(Задачи!$D$2:$D$19,"micro",Задачи!$N$2:$N$19,"&lt;&gt;example")</f>
        <v>12</v>
      </c>
      <c r="C6" s="5"/>
    </row>
    <row r="7" customFormat="false" ht="15" hidden="false" customHeight="false" outlineLevel="0" collapsed="false">
      <c r="A7" s="8" t="s">
        <v>91</v>
      </c>
      <c r="B7" s="8" t="n">
        <f aca="false">COUNTIFS(Задачи!$I$2:$I$19,"&lt;&gt;",Задачи!$N$2:$N$19,"&lt;&gt;example")</f>
        <v>5</v>
      </c>
      <c r="C7" s="5" t="s">
        <v>92</v>
      </c>
    </row>
    <row r="8" customFormat="false" ht="15" hidden="false" customHeight="false" outlineLevel="0" collapsed="false">
      <c r="A8" s="8" t="s">
        <v>93</v>
      </c>
      <c r="B8" s="8" t="n">
        <f aca="false">COUNTIFS(Задачи!$I$2:$I$19,"",Задачи!$N$2:$N$19,"&lt;&gt;example")</f>
        <v>12</v>
      </c>
      <c r="C8" s="5" t="s">
        <v>94</v>
      </c>
    </row>
    <row r="9" customFormat="false" ht="23.85" hidden="false" customHeight="false" outlineLevel="0" collapsed="false">
      <c r="A9" s="8" t="s">
        <v>95</v>
      </c>
      <c r="B9" s="9" t="n">
        <f aca="false">IFERROR(COUNTIFS(Задачи!$I$2:$I$19,"&lt;&gt;",Задачи!$N$2:$N$19,"&lt;&gt;example")/COUNTIFS(Задачи!$N$2:$N$19,"&lt;&gt;example"),0)</f>
        <v>0.294117647058824</v>
      </c>
      <c r="C9" s="5" t="s">
        <v>96</v>
      </c>
    </row>
    <row r="10" customFormat="false" ht="15" hidden="false" customHeight="false" outlineLevel="0" collapsed="false">
      <c r="A10" s="10" t="s">
        <v>97</v>
      </c>
      <c r="B10" s="8" t="n">
        <f aca="false">SUMPRODUCT(--(LEN(Задачи!$G$2:$G$19)&gt;60))</f>
        <v>0</v>
      </c>
      <c r="C10" s="5" t="s">
        <v>98</v>
      </c>
    </row>
    <row r="11" customFormat="false" ht="15" hidden="false" customHeight="false" outlineLevel="0" collapsed="false">
      <c r="A11" s="10" t="s">
        <v>99</v>
      </c>
      <c r="B11" s="8" t="n">
        <f aca="false">SUMPRODUCT(--(LEN(Задачи!$F$2:$F$19)&gt;40))</f>
        <v>0</v>
      </c>
      <c r="C11" s="5" t="s">
        <v>100</v>
      </c>
    </row>
    <row r="12" customFormat="false" ht="15" hidden="false" customHeight="false" outlineLevel="0" collapsed="false">
      <c r="A12" s="10" t="s">
        <v>101</v>
      </c>
      <c r="B12" s="8" t="n">
        <f aca="false">COUNTIFS(Задачи!$D$2:$D$19,"core",Задачи!$F$2:$F$19,"")</f>
        <v>0</v>
      </c>
      <c r="C12" s="5" t="s">
        <v>102</v>
      </c>
    </row>
    <row r="13" customFormat="false" ht="15" hidden="false" customHeight="false" outlineLevel="0" collapsed="false">
      <c r="A13" s="10" t="s">
        <v>103</v>
      </c>
      <c r="B13" s="8" t="n">
        <f aca="false">COUNTIFS(Задачи!$I$2:$I$19,"&lt;&gt;",Задачи!$J$2:$J$19,"")</f>
        <v>0</v>
      </c>
      <c r="C13" s="5" t="s">
        <v>104</v>
      </c>
    </row>
    <row r="14" customFormat="false" ht="15" hidden="false" customHeight="false" outlineLevel="0" collapsed="false">
      <c r="A14" s="10" t="s">
        <v>105</v>
      </c>
      <c r="B14" s="8" t="n">
        <f aca="false">SUMPRODUCT(--(COUNTIF(Задачи!$A$2:$A$19,Задачи!$A$2:$A$19)&gt;1))</f>
        <v>0</v>
      </c>
      <c r="C14" s="5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8"/>
  </cols>
  <sheetData>
    <row r="1" customFormat="false" ht="15" hidden="false" customHeight="false" outlineLevel="0" collapsed="false">
      <c r="A1" s="6" t="s">
        <v>106</v>
      </c>
    </row>
    <row r="3" customFormat="false" ht="15" hidden="false" customHeight="false" outlineLevel="0" collapsed="false">
      <c r="A3" s="11" t="s">
        <v>107</v>
      </c>
      <c r="B3" s="12" t="s">
        <v>108</v>
      </c>
    </row>
    <row r="4" customFormat="false" ht="15" hidden="false" customHeight="false" outlineLevel="0" collapsed="false">
      <c r="A4" s="11" t="s">
        <v>109</v>
      </c>
      <c r="B4" s="12" t="s">
        <v>110</v>
      </c>
    </row>
    <row r="5" customFormat="false" ht="15" hidden="false" customHeight="false" outlineLevel="0" collapsed="false">
      <c r="A5" s="11" t="s">
        <v>111</v>
      </c>
      <c r="B5" s="12" t="s">
        <v>112</v>
      </c>
    </row>
    <row r="6" customFormat="false" ht="15" hidden="false" customHeight="false" outlineLevel="0" collapsed="false">
      <c r="A6" s="11" t="s">
        <v>113</v>
      </c>
      <c r="B6" s="12" t="s">
        <v>114</v>
      </c>
    </row>
    <row r="7" customFormat="false" ht="15" hidden="false" customHeight="false" outlineLevel="0" collapsed="false">
      <c r="A7" s="11"/>
      <c r="B7" s="12"/>
    </row>
    <row r="8" customFormat="false" ht="15" hidden="false" customHeight="false" outlineLevel="0" collapsed="false">
      <c r="A8" s="11" t="s">
        <v>0</v>
      </c>
      <c r="B8" s="12" t="s">
        <v>115</v>
      </c>
    </row>
    <row r="9" customFormat="false" ht="15" hidden="false" customHeight="false" outlineLevel="0" collapsed="false">
      <c r="A9" s="11" t="s">
        <v>1</v>
      </c>
      <c r="B9" s="12" t="s">
        <v>116</v>
      </c>
    </row>
    <row r="10" customFormat="false" ht="15" hidden="false" customHeight="false" outlineLevel="0" collapsed="false">
      <c r="A10" s="11" t="s">
        <v>2</v>
      </c>
      <c r="B10" s="12" t="s">
        <v>117</v>
      </c>
    </row>
    <row r="11" customFormat="false" ht="15" hidden="false" customHeight="false" outlineLevel="0" collapsed="false">
      <c r="A11" s="11" t="s">
        <v>3</v>
      </c>
      <c r="B11" s="12" t="s">
        <v>118</v>
      </c>
    </row>
    <row r="12" customFormat="false" ht="15" hidden="false" customHeight="false" outlineLevel="0" collapsed="false">
      <c r="A12" s="11" t="s">
        <v>4</v>
      </c>
      <c r="B12" s="12" t="s">
        <v>119</v>
      </c>
    </row>
    <row r="13" customFormat="false" ht="15" hidden="false" customHeight="false" outlineLevel="0" collapsed="false">
      <c r="A13" s="11" t="s">
        <v>5</v>
      </c>
      <c r="B13" s="12" t="s">
        <v>120</v>
      </c>
    </row>
    <row r="14" customFormat="false" ht="15" hidden="false" customHeight="false" outlineLevel="0" collapsed="false">
      <c r="A14" s="11" t="s">
        <v>6</v>
      </c>
      <c r="B14" s="12" t="s">
        <v>121</v>
      </c>
    </row>
    <row r="15" customFormat="false" ht="15" hidden="false" customHeight="false" outlineLevel="0" collapsed="false">
      <c r="A15" s="11" t="s">
        <v>7</v>
      </c>
      <c r="B15" s="12" t="s">
        <v>122</v>
      </c>
    </row>
    <row r="16" customFormat="false" ht="15" hidden="false" customHeight="false" outlineLevel="0" collapsed="false">
      <c r="A16" s="11" t="s">
        <v>8</v>
      </c>
      <c r="B16" s="12" t="s">
        <v>123</v>
      </c>
    </row>
    <row r="17" customFormat="false" ht="15" hidden="false" customHeight="false" outlineLevel="0" collapsed="false">
      <c r="A17" s="11" t="s">
        <v>9</v>
      </c>
      <c r="B17" s="12" t="s">
        <v>124</v>
      </c>
    </row>
    <row r="18" customFormat="false" ht="15" hidden="false" customHeight="false" outlineLevel="0" collapsed="false">
      <c r="A18" s="11" t="s">
        <v>10</v>
      </c>
      <c r="B18" s="12" t="s">
        <v>125</v>
      </c>
    </row>
    <row r="19" customFormat="false" ht="15" hidden="false" customHeight="false" outlineLevel="0" collapsed="false">
      <c r="A19" s="11" t="s">
        <v>11</v>
      </c>
      <c r="B19" s="12" t="s">
        <v>126</v>
      </c>
    </row>
    <row r="20" customFormat="false" ht="15" hidden="false" customHeight="false" outlineLevel="0" collapsed="false">
      <c r="A20" s="11" t="s">
        <v>12</v>
      </c>
      <c r="B20" s="12" t="s">
        <v>127</v>
      </c>
    </row>
    <row r="21" customFormat="false" ht="15" hidden="false" customHeight="false" outlineLevel="0" collapsed="false">
      <c r="A21" s="11" t="s">
        <v>13</v>
      </c>
      <c r="B21" s="12" t="s">
        <v>128</v>
      </c>
    </row>
    <row r="22" customFormat="false" ht="15" hidden="false" customHeight="false" outlineLevel="0" collapsed="false">
      <c r="A22" s="11"/>
      <c r="B22" s="12"/>
    </row>
    <row r="23" customFormat="false" ht="15" hidden="false" customHeight="false" outlineLevel="0" collapsed="false">
      <c r="A23" s="11" t="s">
        <v>129</v>
      </c>
      <c r="B23" s="12" t="s">
        <v>130</v>
      </c>
    </row>
    <row r="24" customFormat="false" ht="15" hidden="false" customHeight="false" outlineLevel="0" collapsed="false">
      <c r="A24" s="11"/>
      <c r="B24" s="12" t="s">
        <v>131</v>
      </c>
    </row>
    <row r="25" customFormat="false" ht="15" hidden="false" customHeight="false" outlineLevel="0" collapsed="false">
      <c r="A25" s="11"/>
      <c r="B25" s="12"/>
    </row>
    <row r="26" customFormat="false" ht="15" hidden="false" customHeight="false" outlineLevel="0" collapsed="false">
      <c r="A26" s="11" t="s">
        <v>132</v>
      </c>
      <c r="B26" s="12" t="s">
        <v>133</v>
      </c>
    </row>
    <row r="27" customFormat="false" ht="15" hidden="false" customHeight="false" outlineLevel="0" collapsed="false">
      <c r="A27" s="11"/>
      <c r="B27" s="1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2026-08-01T16:54:42Z</dcterms:created>
  <dc:creator>openpyxl</dc:creator>
  <dc:description/>
  <dc:language>en-US</dc:language>
  <cp:lastModifiedBy/>
  <dcterms:modified xsi:type="dcterms:W3CDTF">2026-08-01T16:54:42Z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